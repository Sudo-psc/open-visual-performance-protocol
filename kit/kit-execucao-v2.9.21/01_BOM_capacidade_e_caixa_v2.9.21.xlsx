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CAPACIDADE_E_CAIXA" sheetId="3" state="visible" r:id="rId3"/>
    <sheet xmlns:r="http://schemas.openxmlformats.org/officeDocument/2006/relationships" name="FLUXO_CAIXA" sheetId="4" state="visible" r:id="rId4"/>
    <sheet xmlns:r="http://schemas.openxmlformats.org/officeDocument/2006/relationships" name="QUATRO_GATES" sheetId="5" state="visible" r:id="rId5"/>
    <sheet xmlns:r="http://schemas.openxmlformats.org/officeDocument/2006/relationships" name="PROTOCOLO_E_LIBERACOES" sheetId="6" state="visible" r:id="rId6"/>
    <sheet xmlns:r="http://schemas.openxmlformats.org/officeDocument/2006/relationships" name="RELATORIO_D90" sheetId="7" state="visible" r:id="rId7"/>
    <sheet xmlns:r="http://schemas.openxmlformats.org/officeDocument/2006/relationships" name="CHECAGENS" sheetId="8" state="visible" r:id="rId8"/>
  </sheets>
  <definedNames>
    <definedName name="_xlnm._FilterDatabase" localSheetId="1" hidden="1">'BOM'!$A$1:$J$12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;[Red](&quot;R$&quot; #,##0.00);-"/>
    <numFmt numFmtId="165" formatCode="0.0%"/>
    <numFmt numFmtId="166" formatCode="0.0"/>
  </numFmts>
  <fonts count="16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00A6A6"/>
    </font>
    <font>
      <b val="1"/>
      <color rgb="00123B5D"/>
      <sz val="14"/>
    </font>
    <font>
      <b val="1"/>
      <color rgb="00123B5D"/>
    </font>
    <font>
      <b val="1"/>
      <color rgb="00FFFFFF"/>
    </font>
    <font>
      <color rgb="000000FF"/>
    </font>
    <font>
      <b val="1"/>
    </font>
    <font>
      <name val="Aptos"/>
      <b val="1"/>
      <color rgb="00FFFFFF"/>
      <sz val="20"/>
    </font>
    <font>
      <name val="Aptos"/>
      <family val="2"/>
      <color theme="1"/>
      <sz val="11"/>
      <scheme val="minor"/>
    </font>
    <font>
      <name val="Aptos"/>
      <b val="1"/>
      <color rgb="0000A6A6"/>
    </font>
    <font>
      <name val="Aptos"/>
      <b val="1"/>
      <color rgb="00123B5D"/>
      <sz val="14"/>
    </font>
    <font>
      <name val="Aptos"/>
      <b val="1"/>
      <color rgb="00123B5D"/>
    </font>
    <font>
      <name val="Aptos"/>
      <b val="1"/>
      <color rgb="00FFFFFF"/>
    </font>
    <font>
      <name val="Aptos"/>
      <color rgb="000000FF"/>
    </font>
    <font>
      <name val="Aptos"/>
      <b val="1"/>
    </font>
  </fonts>
  <fills count="7">
    <fill>
      <patternFill/>
    </fill>
    <fill>
      <patternFill patternType="gray125"/>
    </fill>
    <fill>
      <patternFill patternType="solid">
        <fgColor rgb="00123B5D"/>
      </patternFill>
    </fill>
    <fill>
      <patternFill patternType="solid">
        <fgColor rgb="00EAF4F4"/>
      </patternFill>
    </fill>
    <fill>
      <patternFill patternType="solid">
        <fgColor rgb="00FFF2CC"/>
      </patternFill>
    </fill>
    <fill>
      <patternFill patternType="solid">
        <fgColor rgb="00B63B3B"/>
      </patternFill>
    </fill>
    <fill>
      <patternFill patternType="solid">
        <fgColor rgb="00FCE8E8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8" fillId="2" borderId="1" applyAlignment="1" pivotButton="0" quotePrefix="0" xfId="0">
      <alignment vertical="center"/>
    </xf>
    <xf numFmtId="0" fontId="9" fillId="0" borderId="1" pivotButton="0" quotePrefix="0" xfId="0"/>
    <xf numFmtId="0" fontId="10" fillId="0" borderId="1" pivotButton="0" quotePrefix="0" xfId="0"/>
    <xf numFmtId="0" fontId="9" fillId="0" borderId="1" applyAlignment="1" pivotButton="0" quotePrefix="0" xfId="0">
      <alignment vertical="top" wrapText="1"/>
    </xf>
    <xf numFmtId="0" fontId="11" fillId="0" borderId="1" pivotButton="0" quotePrefix="0" xfId="0"/>
    <xf numFmtId="0" fontId="12" fillId="3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wrapText="1"/>
    </xf>
    <xf numFmtId="164" fontId="9" fillId="0" borderId="1" applyAlignment="1" pivotButton="0" quotePrefix="0" xfId="0">
      <alignment vertical="top" wrapText="1"/>
    </xf>
    <xf numFmtId="0" fontId="13" fillId="2" borderId="1" applyAlignment="1" pivotButton="0" quotePrefix="0" xfId="0">
      <alignment horizontal="right"/>
    </xf>
    <xf numFmtId="164" fontId="13" fillId="2" borderId="1" pivotButton="0" quotePrefix="0" xfId="0"/>
    <xf numFmtId="0" fontId="13" fillId="2" borderId="1" pivotButton="0" quotePrefix="0" xfId="0"/>
    <xf numFmtId="0" fontId="14" fillId="4" borderId="1" applyAlignment="1" pivotButton="0" quotePrefix="0" xfId="0">
      <alignment vertical="top" wrapText="1"/>
    </xf>
    <xf numFmtId="164" fontId="14" fillId="4" borderId="1" applyAlignment="1" pivotButton="0" quotePrefix="0" xfId="0">
      <alignment vertical="top" wrapText="1"/>
    </xf>
    <xf numFmtId="165" fontId="14" fillId="4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166" fontId="9" fillId="0" borderId="1" applyAlignment="1" pivotButton="0" quotePrefix="0" xfId="0">
      <alignment vertical="top" wrapText="1"/>
    </xf>
    <xf numFmtId="0" fontId="13" fillId="5" borderId="1" pivotButton="0" quotePrefix="0" xfId="0"/>
    <xf numFmtId="0" fontId="9" fillId="6" borderId="1" applyAlignment="1" pivotButton="0" quotePrefix="0" xfId="0">
      <alignment vertical="center" wrapText="1"/>
    </xf>
    <xf numFmtId="164" fontId="14" fillId="4" borderId="1" pivotButton="0" quotePrefix="0" xfId="0"/>
    <xf numFmtId="164" fontId="9" fillId="0" borderId="1" pivotButton="0" quotePrefix="0" xfId="0"/>
    <xf numFmtId="0" fontId="12" fillId="3" borderId="1" applyAlignment="1" pivotButton="0" quotePrefix="0" xfId="0">
      <alignment wrapText="1"/>
    </xf>
    <xf numFmtId="0" fontId="15" fillId="0" borderId="1" pivotButton="0" quotePrefix="0" xfId="0"/>
    <xf numFmtId="0" fontId="13" fillId="2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3DC"/>
        </patternFill>
      </fill>
    </dxf>
    <dxf>
      <fill>
        <patternFill patternType="solid">
          <fgColor rgb="00FC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4" customWidth="1" min="6" max="6"/>
  </cols>
  <sheetData>
    <row r="1">
      <c r="A1" s="1" t="inlineStr">
        <is>
          <t>KIT DE EXECUÇÃO — O CUSTO INVISÍVEL DO OLHO SECO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Versão 2.9.21 · 2026-07-13</t>
        </is>
      </c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4" t="inlineStr">
        <is>
          <t>• Este arquivo separa capacidade equivalente, orçamento e resultado financeiro.</t>
        </is>
      </c>
      <c r="B6" s="2" t="n"/>
      <c r="C6" s="2" t="n"/>
      <c r="D6" s="2" t="n"/>
      <c r="E6" s="2" t="n"/>
      <c r="F6" s="2" t="n"/>
    </row>
    <row r="7">
      <c r="A7" s="4" t="inlineStr">
        <is>
          <t>• Capacidade equivalente não é perda contábil nem caixa recuperável.</t>
        </is>
      </c>
      <c r="B7" s="2" t="n"/>
      <c r="C7" s="2" t="n"/>
      <c r="D7" s="2" t="n"/>
      <c r="E7" s="2" t="n"/>
      <c r="F7" s="2" t="n"/>
    </row>
    <row r="8">
      <c r="A8" s="4" t="inlineStr">
        <is>
          <t>• ROI só deve ser calculado com benefício incremental atribuível e custo efetivo no mesmo horizonte.</t>
        </is>
      </c>
      <c r="B8" s="2" t="n"/>
      <c r="C8" s="2" t="n"/>
      <c r="D8" s="2" t="n"/>
      <c r="E8" s="2" t="n"/>
      <c r="F8" s="2" t="n"/>
    </row>
    <row r="9">
      <c r="A9" s="4" t="inlineStr">
        <is>
          <t>• OSDI, DEQ-5, CVS-Q, WPAI e WLQ não se convertem diretamente em dinheiro.</t>
        </is>
      </c>
      <c r="B9" s="2" t="n"/>
      <c r="C9" s="2" t="n"/>
      <c r="D9" s="2" t="n"/>
      <c r="E9" s="2" t="n"/>
      <c r="F9" s="2" t="n"/>
    </row>
    <row r="10">
      <c r="A10" s="4" t="inlineStr">
        <is>
          <t>• Dados individuais de saúde ficam com a equipe de saúde; a gestão recebe agregados.</t>
        </is>
      </c>
      <c r="B10" s="2" t="n"/>
      <c r="C10" s="2" t="n"/>
      <c r="D10" s="2" t="n"/>
      <c r="E10" s="2" t="n"/>
      <c r="F10" s="2" t="n"/>
    </row>
    <row r="11">
      <c r="A11" s="4" t="inlineStr">
        <is>
          <t>• Adapte instrumentos, base legal e fluxos com saúde ocupacional, jurídico e DPO.</t>
        </is>
      </c>
      <c r="B11" s="2" t="n"/>
      <c r="C11" s="2" t="n"/>
      <c r="D11" s="2" t="n"/>
      <c r="E11" s="2" t="n"/>
      <c r="F11" s="2" t="n"/>
    </row>
    <row r="12">
      <c r="A12" s="4" t="inlineStr">
        <is>
          <t>• Antes da coleta, classifique o projeto: melhoria interna ou pesquisa com seres humanos; consulte CEP/CONEP quando aplicável.</t>
        </is>
      </c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Fluxo recomendado</t>
        </is>
      </c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 ht="45" customHeight="1">
      <c r="A16" s="6" t="inlineStr">
        <is>
          <t>1. Linha de base</t>
        </is>
      </c>
      <c r="B16" s="6" t="inlineStr">
        <is>
          <t>2. BOM cotado</t>
        </is>
      </c>
      <c r="C16" s="6" t="inlineStr">
        <is>
          <t>3. Intervenção limitada</t>
        </is>
      </c>
      <c r="D16" s="6" t="inlineStr">
        <is>
          <t>4. Quatro gates</t>
        </is>
      </c>
      <c r="E16" s="6" t="inlineStr">
        <is>
          <t>5. Confirmar / ajustar / encerrar</t>
        </is>
      </c>
      <c r="F16" s="2" t="n"/>
    </row>
  </sheetData>
  <mergeCells count="8">
    <mergeCell ref="A11:F11"/>
    <mergeCell ref="A10:F10"/>
    <mergeCell ref="A9:F9"/>
    <mergeCell ref="A1:F2"/>
    <mergeCell ref="A8:F8"/>
    <mergeCell ref="A6:F6"/>
    <mergeCell ref="A12:F12"/>
    <mergeCell ref="A7:F7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22" customWidth="1" min="4" max="4"/>
    <col width="15" customWidth="1" min="5" max="5"/>
    <col width="15" customWidth="1" min="6" max="6"/>
    <col width="15" customWidth="1" min="7" max="7"/>
    <col width="28" customWidth="1" min="8" max="8"/>
    <col width="14" customWidth="1" min="9" max="9"/>
    <col width="34" customWidth="1" min="10" max="10"/>
  </cols>
  <sheetData>
    <row r="1">
      <c r="A1" s="7" t="inlineStr">
        <is>
          <t>Bloco</t>
        </is>
      </c>
      <c r="B1" s="7" t="inlineStr">
        <is>
          <t>Unidade</t>
        </is>
      </c>
      <c r="C1" s="7" t="inlineStr">
        <is>
          <t>Natureza</t>
        </is>
      </c>
      <c r="D1" s="7" t="inlineStr">
        <is>
          <t>Frequência / período</t>
        </is>
      </c>
      <c r="E1" s="7" t="inlineStr">
        <is>
          <t>Quantidade</t>
        </is>
      </c>
      <c r="F1" s="7" t="inlineStr">
        <is>
          <t>Valor unitário</t>
        </is>
      </c>
      <c r="G1" s="7" t="inlineStr">
        <is>
          <t>Total em H</t>
        </is>
      </c>
      <c r="H1" s="7" t="inlineStr">
        <is>
          <t>Fonte / fornecedor</t>
        </is>
      </c>
      <c r="I1" s="7" t="inlineStr">
        <is>
          <t>Data-base</t>
        </is>
      </c>
      <c r="J1" s="7" t="inlineStr">
        <is>
          <t>Inclui / exclui</t>
        </is>
      </c>
    </row>
    <row r="2">
      <c r="A2" s="4" t="inlineStr">
        <is>
          <t>Desenho do protocolo</t>
        </is>
      </c>
      <c r="B2" s="4" t="inlineStr">
        <is>
          <t>projeto / hora</t>
        </is>
      </c>
      <c r="C2" s="4" t="n"/>
      <c r="D2" s="4" t="n"/>
      <c r="E2" s="4" t="n"/>
      <c r="F2" s="8" t="n"/>
      <c r="G2" s="8">
        <f>IF(OR(E2="",F2=""),"",E2*F2)</f>
        <v/>
      </c>
      <c r="H2" s="4" t="n"/>
      <c r="I2" s="4" t="n"/>
      <c r="J2" s="4" t="n"/>
    </row>
    <row r="3">
      <c r="A3" s="4" t="inlineStr">
        <is>
          <t>Triagem e análise agregada</t>
        </is>
      </c>
      <c r="B3" s="4" t="inlineStr">
        <is>
          <t>campanha / pessoa</t>
        </is>
      </c>
      <c r="C3" s="4" t="n"/>
      <c r="D3" s="4" t="n"/>
      <c r="E3" s="4" t="n"/>
      <c r="F3" s="8" t="n"/>
      <c r="G3" s="8">
        <f>IF(OR(E3="",F3=""),"",E3*F3)</f>
        <v/>
      </c>
      <c r="H3" s="4" t="n"/>
      <c r="I3" s="4" t="n"/>
      <c r="J3" s="4" t="n"/>
    </row>
    <row r="4">
      <c r="A4" s="4" t="inlineStr">
        <is>
          <t>Comunicação e treinamento</t>
        </is>
      </c>
      <c r="B4" s="4" t="inlineStr">
        <is>
          <t>campanha / turma</t>
        </is>
      </c>
      <c r="C4" s="4" t="n"/>
      <c r="D4" s="4" t="n"/>
      <c r="E4" s="4" t="n"/>
      <c r="F4" s="8" t="n"/>
      <c r="G4" s="8">
        <f>IF(OR(E4="",F4=""),"",E4*F4)</f>
        <v/>
      </c>
      <c r="H4" s="4" t="n"/>
      <c r="I4" s="4" t="n"/>
      <c r="J4" s="4" t="n"/>
    </row>
    <row r="5">
      <c r="A5" s="4" t="inlineStr">
        <is>
          <t>Ergonomia e ambiente</t>
        </is>
      </c>
      <c r="B5" s="4" t="inlineStr">
        <is>
          <t>posto / área / item</t>
        </is>
      </c>
      <c r="C5" s="4" t="n"/>
      <c r="D5" s="4" t="n"/>
      <c r="E5" s="4" t="n"/>
      <c r="F5" s="8" t="n"/>
      <c r="G5" s="8">
        <f>IF(OR(E5="",F5=""),"",E5*F5)</f>
        <v/>
      </c>
      <c r="H5" s="4" t="n"/>
      <c r="I5" s="4" t="n"/>
      <c r="J5" s="4" t="n"/>
    </row>
    <row r="6">
      <c r="A6" s="4" t="inlineStr">
        <is>
          <t>Lembretes e nudges</t>
        </is>
      </c>
      <c r="B6" s="4" t="inlineStr">
        <is>
          <t>licença / integração / hora</t>
        </is>
      </c>
      <c r="C6" s="4" t="n"/>
      <c r="D6" s="4" t="n"/>
      <c r="E6" s="4" t="n"/>
      <c r="F6" s="8" t="n"/>
      <c r="G6" s="8">
        <f>IF(OR(E6="",F6=""),"",E6*F6)</f>
        <v/>
      </c>
      <c r="H6" s="4" t="n"/>
      <c r="I6" s="4" t="n"/>
      <c r="J6" s="4" t="n"/>
    </row>
    <row r="7">
      <c r="A7" s="4" t="inlineStr">
        <is>
          <t>Avaliação clínica seletiva</t>
        </is>
      </c>
      <c r="B7" s="4" t="inlineStr">
        <is>
          <t>atendimento</t>
        </is>
      </c>
      <c r="C7" s="4" t="n"/>
      <c r="D7" s="4" t="n"/>
      <c r="E7" s="4" t="n"/>
      <c r="F7" s="8" t="n"/>
      <c r="G7" s="8">
        <f>IF(OR(E7="",F7=""),"",E7*F7)</f>
        <v/>
      </c>
      <c r="H7" s="4" t="n"/>
      <c r="I7" s="4" t="n"/>
      <c r="J7" s="4" t="n"/>
    </row>
    <row r="8">
      <c r="A8" s="4" t="inlineStr">
        <is>
          <t>Tratamento coberto</t>
        </is>
      </c>
      <c r="B8" s="4" t="inlineStr">
        <is>
          <t>pessoa / item</t>
        </is>
      </c>
      <c r="C8" s="4" t="n"/>
      <c r="D8" s="4" t="n"/>
      <c r="E8" s="4" t="n"/>
      <c r="F8" s="8" t="n"/>
      <c r="G8" s="8">
        <f>IF(OR(E8="",F8=""),"",E8*F8)</f>
        <v/>
      </c>
      <c r="H8" s="4" t="n"/>
      <c r="I8" s="4" t="n"/>
      <c r="J8" s="4" t="n"/>
    </row>
    <row r="9">
      <c r="A9" s="4" t="inlineStr">
        <is>
          <t>Analytics e reavaliação</t>
        </is>
      </c>
      <c r="B9" s="4" t="inlineStr">
        <is>
          <t>ciclo / relatório</t>
        </is>
      </c>
      <c r="C9" s="4" t="n"/>
      <c r="D9" s="4" t="n"/>
      <c r="E9" s="4" t="n"/>
      <c r="F9" s="8" t="n"/>
      <c r="G9" s="8">
        <f>IF(OR(E9="",F9=""),"",E9*F9)</f>
        <v/>
      </c>
      <c r="H9" s="4" t="n"/>
      <c r="I9" s="4" t="n"/>
      <c r="J9" s="4" t="n"/>
    </row>
    <row r="10">
      <c r="A10" s="4" t="inlineStr">
        <is>
          <t>Horas internas</t>
        </is>
      </c>
      <c r="B10" s="4" t="inlineStr">
        <is>
          <t>hora</t>
        </is>
      </c>
      <c r="C10" s="4" t="n"/>
      <c r="D10" s="4" t="n"/>
      <c r="E10" s="4" t="n"/>
      <c r="F10" s="8" t="n"/>
      <c r="G10" s="8">
        <f>IF(OR(E10="",F10=""),"",E10*F10)</f>
        <v/>
      </c>
      <c r="H10" s="4" t="n"/>
      <c r="I10" s="4" t="n"/>
      <c r="J10" s="4" t="n"/>
    </row>
    <row r="11">
      <c r="A11" s="4" t="inlineStr">
        <is>
          <t>Privacidade, jurídico e DPO</t>
        </is>
      </c>
      <c r="B11" s="4" t="inlineStr">
        <is>
          <t>hora / projeto</t>
        </is>
      </c>
      <c r="C11" s="4" t="n"/>
      <c r="D11" s="4" t="n"/>
      <c r="E11" s="4" t="n"/>
      <c r="F11" s="8" t="n"/>
      <c r="G11" s="8">
        <f>IF(OR(E11="",F11=""),"",E11*F11)</f>
        <v/>
      </c>
      <c r="H11" s="4" t="n"/>
      <c r="I11" s="4" t="n"/>
      <c r="J11" s="4" t="n"/>
    </row>
    <row r="12">
      <c r="A12" s="4" t="inlineStr">
        <is>
          <t>Deslocamento, impostos e contingência</t>
        </is>
      </c>
      <c r="B12" s="4" t="inlineStr">
        <is>
          <t>item</t>
        </is>
      </c>
      <c r="C12" s="4" t="n"/>
      <c r="D12" s="4" t="n"/>
      <c r="E12" s="4" t="n"/>
      <c r="F12" s="8" t="n"/>
      <c r="G12" s="8">
        <f>IF(OR(E12="",F12=""),"",E12*F12)</f>
        <v/>
      </c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8" t="n"/>
      <c r="G13" s="8" t="n"/>
      <c r="H13" s="4" t="n"/>
      <c r="I13" s="4" t="n"/>
      <c r="J13" s="4" t="n"/>
    </row>
    <row r="14">
      <c r="A14" s="2" t="n"/>
      <c r="B14" s="2" t="n"/>
      <c r="C14" s="2" t="n"/>
      <c r="D14" s="2" t="n"/>
      <c r="E14" s="9" t="inlineStr">
        <is>
          <t>K_H — total no horizonte</t>
        </is>
      </c>
      <c r="F14" s="2" t="n"/>
      <c r="G14" s="10">
        <f>IF(COUNT(G2:G12)=0,"",SUM(G2:G12))</f>
        <v/>
      </c>
      <c r="H14" s="2" t="n"/>
      <c r="I14" s="2" t="n"/>
      <c r="J14" s="2" t="n"/>
    </row>
  </sheetData>
  <autoFilter ref="A1:J12"/>
  <mergeCells count="1">
    <mergeCell ref="E14:F14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5" customWidth="1" min="3" max="3"/>
  </cols>
  <sheetData>
    <row r="1">
      <c r="A1" s="11" t="inlineStr">
        <is>
          <t>Variável</t>
        </is>
      </c>
      <c r="B1" s="11" t="inlineStr">
        <is>
          <t>Valor</t>
        </is>
      </c>
      <c r="C1" s="11" t="inlineStr">
        <is>
          <t>Fonte / regra</t>
        </is>
      </c>
    </row>
    <row r="2">
      <c r="A2" s="4" t="inlineStr">
        <is>
          <t>H — horizonte comum (meses)</t>
        </is>
      </c>
      <c r="B2" s="12" t="n">
        <v>3</v>
      </c>
      <c r="C2" s="4" t="inlineStr">
        <is>
          <t>mesmo período para capacidade, custo e benefício</t>
        </is>
      </c>
    </row>
    <row r="3">
      <c r="A3" s="4" t="inlineStr">
        <is>
          <t>N — colaboradores expostos</t>
        </is>
      </c>
      <c r="B3" s="12" t="n">
        <v>100</v>
      </c>
      <c r="C3" s="4" t="inlineStr">
        <is>
          <t>RH</t>
        </is>
      </c>
    </row>
    <row r="4">
      <c r="A4" s="4" t="inlineStr">
        <is>
          <t>C_trabalho — custo direto anual</t>
        </is>
      </c>
      <c r="B4" s="13" t="n">
        <v>180000</v>
      </c>
      <c r="C4" s="4" t="inlineStr">
        <is>
          <t>remuneração + encargos + benefícios</t>
        </is>
      </c>
    </row>
    <row r="5">
      <c r="A5" s="4" t="inlineStr">
        <is>
          <t>P — prevalência sintomática</t>
        </is>
      </c>
      <c r="B5" s="14" t="n">
        <v>0.5</v>
      </c>
      <c r="C5" s="4" t="inlineStr">
        <is>
          <t>triagem interna</t>
        </is>
      </c>
    </row>
    <row r="6">
      <c r="A6" s="4" t="inlineStr">
        <is>
          <t>L — perda percebida/assumida do cenário</t>
        </is>
      </c>
      <c r="B6" s="14" t="n">
        <v>0.02</v>
      </c>
      <c r="C6" s="4" t="inlineStr">
        <is>
          <t>premissa de sensibilidade; não perda atribuível demonstrada</t>
        </is>
      </c>
    </row>
    <row r="7">
      <c r="A7" s="4" t="inlineStr">
        <is>
          <t>Capacidade equivalente em H</t>
        </is>
      </c>
      <c r="B7" s="8">
        <f>IF(OR(B2="",B2&lt;=0,B3="",B4="",B5="",B6=""),"",B3*B4*(B2/12)*B5*B6)</f>
        <v/>
      </c>
      <c r="C7" s="4" t="inlineStr">
        <is>
          <t>rateio linear; cenário, não caixa; prefira custo real do período</t>
        </is>
      </c>
    </row>
    <row r="8">
      <c r="A8" s="4" t="inlineStr">
        <is>
          <t>K_implantação em H</t>
        </is>
      </c>
      <c r="B8" s="8">
        <f>IF(SUMIF('BOM'!C2:C12,"Implantação",'BOM'!G2:G12)=0,"",SUMIF('BOM'!C2:C12,"Implantação",'BOM'!G2:G12))</f>
        <v/>
      </c>
      <c r="C8" s="4" t="inlineStr">
        <is>
          <t>itens únicos classificados no BOM</t>
        </is>
      </c>
    </row>
    <row r="9">
      <c r="A9" s="4" t="inlineStr">
        <is>
          <t>K_recorrente em H</t>
        </is>
      </c>
      <c r="B9" s="8">
        <f>IF(SUMIF('BOM'!C2:C12,"Recorrente",'BOM'!G2:G12)=0,"",SUMIF('BOM'!C2:C12,"Recorrente",'BOM'!G2:G12))</f>
        <v/>
      </c>
      <c r="C9" s="4" t="inlineStr">
        <is>
          <t>frequência × períodos dentro de H</t>
        </is>
      </c>
    </row>
    <row r="10">
      <c r="A10" s="4" t="inlineStr">
        <is>
          <t>K_H — custo total do BOM no horizonte</t>
        </is>
      </c>
      <c r="B10" s="8">
        <f>IF('BOM'!G14=0,"",'BOM'!G14)</f>
        <v/>
      </c>
      <c r="C10" s="4" t="inlineStr">
        <is>
          <t>implantação + recorrência; fontes e datas documentadas</t>
        </is>
      </c>
    </row>
    <row r="11">
      <c r="A11" s="4" t="inlineStr">
        <is>
          <t>Limiar de cobertura da capacidade</t>
        </is>
      </c>
      <c r="B11" s="15">
        <f>IF(OR(B10="",B7="",B7&lt;=0),"",B10/B7)</f>
        <v/>
      </c>
      <c r="C11" s="4" t="inlineStr">
        <is>
          <t>N/A quando capacidade ≤ 0; razão de planejamento, não ROI</t>
        </is>
      </c>
    </row>
    <row r="12">
      <c r="A12" s="4" t="inlineStr">
        <is>
          <t>B_caixa,H — benefício financeiro incremental atribuível</t>
        </is>
      </c>
      <c r="B12" s="8">
        <f>IF(SUMIFS('FLUXO_CAIXA'!D2:D26,'FLUXO_CAIXA'!A2:A26,"&lt;="&amp;B2)=0,"",SUMIFS('FLUXO_CAIXA'!D2:D26,'FLUXO_CAIXA'!A2:A26,"&lt;="&amp;B2))</f>
        <v/>
      </c>
      <c r="C12" s="4" t="inlineStr">
        <is>
          <t>somente meses ≤ H; método e comparação declarados</t>
        </is>
      </c>
    </row>
    <row r="13">
      <c r="A13" s="4" t="inlineStr">
        <is>
          <t>Resultado financeiro incremental em H</t>
        </is>
      </c>
      <c r="B13" s="8">
        <f>IF(OR(B12="",B10=""),"",B12-B10)</f>
        <v/>
      </c>
      <c r="C13" s="4" t="inlineStr">
        <is>
          <t>B_caixa,H − K_H</t>
        </is>
      </c>
    </row>
    <row r="14">
      <c r="A14" s="4" t="inlineStr">
        <is>
          <t>ROI financeiro observado em H</t>
        </is>
      </c>
      <c r="B14" s="15">
        <f>IF(OR(B13="",B10="",B10&lt;=0),"",B13/B10)</f>
        <v/>
      </c>
      <c r="C14" s="4" t="inlineStr">
        <is>
          <t>calcular somente após observação</t>
        </is>
      </c>
    </row>
    <row r="15">
      <c r="A15" s="4" t="inlineStr">
        <is>
          <t>Payback observado (meses)</t>
        </is>
      </c>
      <c r="B15" s="16">
        <f>IFERROR(INDEX('FLUXO_CAIXA'!A2:A26,MATCH("SIM",'FLUXO_CAIXA'!G2:G26,0)),"")</f>
        <v/>
      </c>
      <c r="C15" s="4" t="inlineStr">
        <is>
          <t>primeiro mês ≤ H em que o fluxo acumulado chega a ≥ 0</t>
        </is>
      </c>
    </row>
    <row r="16">
      <c r="A16" s="2" t="n"/>
      <c r="B16" s="2" t="n"/>
      <c r="C16" s="2" t="n"/>
    </row>
    <row r="17">
      <c r="A17" s="17" t="inlineStr">
        <is>
          <t>Atenção</t>
        </is>
      </c>
      <c r="B17" s="18" t="inlineStr">
        <is>
          <t>Valores pré-preenchidos são didáticos. Substitua H, N, C, P e L. Quando P ou L for zero, o limiar fica N/A — nunca 0%. ROI e payback permanecem em branco até custos e benefício incremental atribuível serem observados e reconciliados no mesmo horizonte.</t>
        </is>
      </c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</sheetData>
  <mergeCells count="1">
    <mergeCell ref="B17:C19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Mês</t>
        </is>
      </c>
      <c r="B1" s="7" t="inlineStr">
        <is>
          <t>Custo de implantação</t>
        </is>
      </c>
      <c r="C1" s="7" t="inlineStr">
        <is>
          <t>Custo recorrente</t>
        </is>
      </c>
      <c r="D1" s="7" t="inlineStr">
        <is>
          <t>Benefício incremental atribuível</t>
        </is>
      </c>
      <c r="E1" s="7" t="inlineStr">
        <is>
          <t>Fluxo líquido</t>
        </is>
      </c>
      <c r="F1" s="7" t="inlineStr">
        <is>
          <t>Fluxo acumulado</t>
        </is>
      </c>
      <c r="G1" s="7" t="inlineStr">
        <is>
          <t>Payback atingido</t>
        </is>
      </c>
    </row>
    <row r="2">
      <c r="A2" s="2" t="n">
        <v>0</v>
      </c>
      <c r="B2" s="19" t="n"/>
      <c r="C2" s="19" t="n"/>
      <c r="D2" s="19" t="n"/>
      <c r="E2" s="2">
        <f>IF(COUNTA(B2:D2)=0,"",D2-B2-C2)</f>
        <v/>
      </c>
      <c r="F2" s="20">
        <f>IF(COUNTA($B$2:D2)=0,"",SUM($E$2:E2))</f>
        <v/>
      </c>
      <c r="G2" s="2">
        <f>IF(A2&gt;'CAPACIDADE_E_CAIXA'!B2,"",IF(F2="","",IF(F2&gt;=0,"SIM","")))</f>
        <v/>
      </c>
    </row>
    <row r="3">
      <c r="A3" s="2" t="n">
        <v>1</v>
      </c>
      <c r="B3" s="19" t="n"/>
      <c r="C3" s="19" t="n"/>
      <c r="D3" s="19" t="n"/>
      <c r="E3" s="2">
        <f>IF(COUNTA(B3:D3)=0,"",D3-B3-C3)</f>
        <v/>
      </c>
      <c r="F3" s="20">
        <f>IF(COUNTA($B$2:D3)=0,"",SUM($E$2:E3))</f>
        <v/>
      </c>
      <c r="G3" s="2">
        <f>IF(A3&gt;'CAPACIDADE_E_CAIXA'!B2,"",IF(F3="","",IF(AND(F3&gt;=0,OR(F2="",F2&lt;0)),"SIM","")))</f>
        <v/>
      </c>
    </row>
    <row r="4">
      <c r="A4" s="2" t="n">
        <v>2</v>
      </c>
      <c r="B4" s="19" t="n"/>
      <c r="C4" s="19" t="n"/>
      <c r="D4" s="19" t="n"/>
      <c r="E4" s="2">
        <f>IF(COUNTA(B4:D4)=0,"",D4-B4-C4)</f>
        <v/>
      </c>
      <c r="F4" s="20">
        <f>IF(COUNTA($B$2:D4)=0,"",SUM($E$2:E4))</f>
        <v/>
      </c>
      <c r="G4" s="2">
        <f>IF(A4&gt;'CAPACIDADE_E_CAIXA'!B2,"",IF(F4="","",IF(AND(F4&gt;=0,OR(F3="",F3&lt;0)),"SIM","")))</f>
        <v/>
      </c>
    </row>
    <row r="5">
      <c r="A5" s="2" t="n">
        <v>3</v>
      </c>
      <c r="B5" s="19" t="n"/>
      <c r="C5" s="19" t="n"/>
      <c r="D5" s="19" t="n"/>
      <c r="E5" s="2">
        <f>IF(COUNTA(B5:D5)=0,"",D5-B5-C5)</f>
        <v/>
      </c>
      <c r="F5" s="20">
        <f>IF(COUNTA($B$2:D5)=0,"",SUM($E$2:E5))</f>
        <v/>
      </c>
      <c r="G5" s="2">
        <f>IF(A5&gt;'CAPACIDADE_E_CAIXA'!B2,"",IF(F5="","",IF(AND(F5&gt;=0,OR(F4="",F4&lt;0)),"SIM","")))</f>
        <v/>
      </c>
    </row>
    <row r="6">
      <c r="A6" s="2" t="n">
        <v>4</v>
      </c>
      <c r="B6" s="19" t="n"/>
      <c r="C6" s="19" t="n"/>
      <c r="D6" s="19" t="n"/>
      <c r="E6" s="2">
        <f>IF(COUNTA(B6:D6)=0,"",D6-B6-C6)</f>
        <v/>
      </c>
      <c r="F6" s="20">
        <f>IF(COUNTA($B$2:D6)=0,"",SUM($E$2:E6))</f>
        <v/>
      </c>
      <c r="G6" s="2">
        <f>IF(A6&gt;'CAPACIDADE_E_CAIXA'!B2,"",IF(F6="","",IF(AND(F6&gt;=0,OR(F5="",F5&lt;0)),"SIM","")))</f>
        <v/>
      </c>
    </row>
    <row r="7">
      <c r="A7" s="2" t="n">
        <v>5</v>
      </c>
      <c r="B7" s="19" t="n"/>
      <c r="C7" s="19" t="n"/>
      <c r="D7" s="19" t="n"/>
      <c r="E7" s="2">
        <f>IF(COUNTA(B7:D7)=0,"",D7-B7-C7)</f>
        <v/>
      </c>
      <c r="F7" s="20">
        <f>IF(COUNTA($B$2:D7)=0,"",SUM($E$2:E7))</f>
        <v/>
      </c>
      <c r="G7" s="2">
        <f>IF(A7&gt;'CAPACIDADE_E_CAIXA'!B2,"",IF(F7="","",IF(AND(F7&gt;=0,OR(F6="",F6&lt;0)),"SIM","")))</f>
        <v/>
      </c>
    </row>
    <row r="8">
      <c r="A8" s="2" t="n">
        <v>6</v>
      </c>
      <c r="B8" s="19" t="n"/>
      <c r="C8" s="19" t="n"/>
      <c r="D8" s="19" t="n"/>
      <c r="E8" s="2">
        <f>IF(COUNTA(B8:D8)=0,"",D8-B8-C8)</f>
        <v/>
      </c>
      <c r="F8" s="20">
        <f>IF(COUNTA($B$2:D8)=0,"",SUM($E$2:E8))</f>
        <v/>
      </c>
      <c r="G8" s="2">
        <f>IF(A8&gt;'CAPACIDADE_E_CAIXA'!B2,"",IF(F8="","",IF(AND(F8&gt;=0,OR(F7="",F7&lt;0)),"SIM","")))</f>
        <v/>
      </c>
    </row>
    <row r="9">
      <c r="A9" s="2" t="n">
        <v>7</v>
      </c>
      <c r="B9" s="19" t="n"/>
      <c r="C9" s="19" t="n"/>
      <c r="D9" s="19" t="n"/>
      <c r="E9" s="2">
        <f>IF(COUNTA(B9:D9)=0,"",D9-B9-C9)</f>
        <v/>
      </c>
      <c r="F9" s="20">
        <f>IF(COUNTA($B$2:D9)=0,"",SUM($E$2:E9))</f>
        <v/>
      </c>
      <c r="G9" s="2">
        <f>IF(A9&gt;'CAPACIDADE_E_CAIXA'!B2,"",IF(F9="","",IF(AND(F9&gt;=0,OR(F8="",F8&lt;0)),"SIM","")))</f>
        <v/>
      </c>
    </row>
    <row r="10">
      <c r="A10" s="2" t="n">
        <v>8</v>
      </c>
      <c r="B10" s="19" t="n"/>
      <c r="C10" s="19" t="n"/>
      <c r="D10" s="19" t="n"/>
      <c r="E10" s="2">
        <f>IF(COUNTA(B10:D10)=0,"",D10-B10-C10)</f>
        <v/>
      </c>
      <c r="F10" s="20">
        <f>IF(COUNTA($B$2:D10)=0,"",SUM($E$2:E10))</f>
        <v/>
      </c>
      <c r="G10" s="2">
        <f>IF(A10&gt;'CAPACIDADE_E_CAIXA'!B2,"",IF(F10="","",IF(AND(F10&gt;=0,OR(F9="",F9&lt;0)),"SIM","")))</f>
        <v/>
      </c>
    </row>
    <row r="11">
      <c r="A11" s="2" t="n">
        <v>9</v>
      </c>
      <c r="B11" s="19" t="n"/>
      <c r="C11" s="19" t="n"/>
      <c r="D11" s="19" t="n"/>
      <c r="E11" s="2">
        <f>IF(COUNTA(B11:D11)=0,"",D11-B11-C11)</f>
        <v/>
      </c>
      <c r="F11" s="20">
        <f>IF(COUNTA($B$2:D11)=0,"",SUM($E$2:E11))</f>
        <v/>
      </c>
      <c r="G11" s="2">
        <f>IF(A11&gt;'CAPACIDADE_E_CAIXA'!B2,"",IF(F11="","",IF(AND(F11&gt;=0,OR(F10="",F10&lt;0)),"SIM","")))</f>
        <v/>
      </c>
    </row>
    <row r="12">
      <c r="A12" s="2" t="n">
        <v>10</v>
      </c>
      <c r="B12" s="19" t="n"/>
      <c r="C12" s="19" t="n"/>
      <c r="D12" s="19" t="n"/>
      <c r="E12" s="2">
        <f>IF(COUNTA(B12:D12)=0,"",D12-B12-C12)</f>
        <v/>
      </c>
      <c r="F12" s="20">
        <f>IF(COUNTA($B$2:D12)=0,"",SUM($E$2:E12))</f>
        <v/>
      </c>
      <c r="G12" s="2">
        <f>IF(A12&gt;'CAPACIDADE_E_CAIXA'!B2,"",IF(F12="","",IF(AND(F12&gt;=0,OR(F11="",F11&lt;0)),"SIM","")))</f>
        <v/>
      </c>
    </row>
    <row r="13">
      <c r="A13" s="2" t="n">
        <v>11</v>
      </c>
      <c r="B13" s="19" t="n"/>
      <c r="C13" s="19" t="n"/>
      <c r="D13" s="19" t="n"/>
      <c r="E13" s="2">
        <f>IF(COUNTA(B13:D13)=0,"",D13-B13-C13)</f>
        <v/>
      </c>
      <c r="F13" s="20">
        <f>IF(COUNTA($B$2:D13)=0,"",SUM($E$2:E13))</f>
        <v/>
      </c>
      <c r="G13" s="2">
        <f>IF(A13&gt;'CAPACIDADE_E_CAIXA'!B2,"",IF(F13="","",IF(AND(F13&gt;=0,OR(F12="",F12&lt;0)),"SIM","")))</f>
        <v/>
      </c>
    </row>
    <row r="14">
      <c r="A14" s="2" t="n">
        <v>12</v>
      </c>
      <c r="B14" s="19" t="n"/>
      <c r="C14" s="19" t="n"/>
      <c r="D14" s="19" t="n"/>
      <c r="E14" s="2">
        <f>IF(COUNTA(B14:D14)=0,"",D14-B14-C14)</f>
        <v/>
      </c>
      <c r="F14" s="20">
        <f>IF(COUNTA($B$2:D14)=0,"",SUM($E$2:E14))</f>
        <v/>
      </c>
      <c r="G14" s="2">
        <f>IF(A14&gt;'CAPACIDADE_E_CAIXA'!B2,"",IF(F14="","",IF(AND(F14&gt;=0,OR(F13="",F13&lt;0)),"SIM","")))</f>
        <v/>
      </c>
    </row>
    <row r="15">
      <c r="A15" s="2" t="n">
        <v>13</v>
      </c>
      <c r="B15" s="19" t="n"/>
      <c r="C15" s="19" t="n"/>
      <c r="D15" s="19" t="n"/>
      <c r="E15" s="2">
        <f>IF(COUNTA(B15:D15)=0,"",D15-B15-C15)</f>
        <v/>
      </c>
      <c r="F15" s="20">
        <f>IF(COUNTA($B$2:D15)=0,"",SUM($E$2:E15))</f>
        <v/>
      </c>
      <c r="G15" s="2">
        <f>IF(A15&gt;'CAPACIDADE_E_CAIXA'!B2,"",IF(F15="","",IF(AND(F15&gt;=0,OR(F14="",F14&lt;0)),"SIM","")))</f>
        <v/>
      </c>
    </row>
    <row r="16">
      <c r="A16" s="2" t="n">
        <v>14</v>
      </c>
      <c r="B16" s="19" t="n"/>
      <c r="C16" s="19" t="n"/>
      <c r="D16" s="19" t="n"/>
      <c r="E16" s="2">
        <f>IF(COUNTA(B16:D16)=0,"",D16-B16-C16)</f>
        <v/>
      </c>
      <c r="F16" s="20">
        <f>IF(COUNTA($B$2:D16)=0,"",SUM($E$2:E16))</f>
        <v/>
      </c>
      <c r="G16" s="2">
        <f>IF(A16&gt;'CAPACIDADE_E_CAIXA'!B2,"",IF(F16="","",IF(AND(F16&gt;=0,OR(F15="",F15&lt;0)),"SIM","")))</f>
        <v/>
      </c>
    </row>
    <row r="17">
      <c r="A17" s="2" t="n">
        <v>15</v>
      </c>
      <c r="B17" s="19" t="n"/>
      <c r="C17" s="19" t="n"/>
      <c r="D17" s="19" t="n"/>
      <c r="E17" s="2">
        <f>IF(COUNTA(B17:D17)=0,"",D17-B17-C17)</f>
        <v/>
      </c>
      <c r="F17" s="20">
        <f>IF(COUNTA($B$2:D17)=0,"",SUM($E$2:E17))</f>
        <v/>
      </c>
      <c r="G17" s="2">
        <f>IF(A17&gt;'CAPACIDADE_E_CAIXA'!B2,"",IF(F17="","",IF(AND(F17&gt;=0,OR(F16="",F16&lt;0)),"SIM","")))</f>
        <v/>
      </c>
    </row>
    <row r="18">
      <c r="A18" s="2" t="n">
        <v>16</v>
      </c>
      <c r="B18" s="19" t="n"/>
      <c r="C18" s="19" t="n"/>
      <c r="D18" s="19" t="n"/>
      <c r="E18" s="2">
        <f>IF(COUNTA(B18:D18)=0,"",D18-B18-C18)</f>
        <v/>
      </c>
      <c r="F18" s="20">
        <f>IF(COUNTA($B$2:D18)=0,"",SUM($E$2:E18))</f>
        <v/>
      </c>
      <c r="G18" s="2">
        <f>IF(A18&gt;'CAPACIDADE_E_CAIXA'!B2,"",IF(F18="","",IF(AND(F18&gt;=0,OR(F17="",F17&lt;0)),"SIM","")))</f>
        <v/>
      </c>
    </row>
    <row r="19">
      <c r="A19" s="2" t="n">
        <v>17</v>
      </c>
      <c r="B19" s="19" t="n"/>
      <c r="C19" s="19" t="n"/>
      <c r="D19" s="19" t="n"/>
      <c r="E19" s="2">
        <f>IF(COUNTA(B19:D19)=0,"",D19-B19-C19)</f>
        <v/>
      </c>
      <c r="F19" s="20">
        <f>IF(COUNTA($B$2:D19)=0,"",SUM($E$2:E19))</f>
        <v/>
      </c>
      <c r="G19" s="2">
        <f>IF(A19&gt;'CAPACIDADE_E_CAIXA'!B2,"",IF(F19="","",IF(AND(F19&gt;=0,OR(F18="",F18&lt;0)),"SIM","")))</f>
        <v/>
      </c>
    </row>
    <row r="20">
      <c r="A20" s="2" t="n">
        <v>18</v>
      </c>
      <c r="B20" s="19" t="n"/>
      <c r="C20" s="19" t="n"/>
      <c r="D20" s="19" t="n"/>
      <c r="E20" s="2">
        <f>IF(COUNTA(B20:D20)=0,"",D20-B20-C20)</f>
        <v/>
      </c>
      <c r="F20" s="20">
        <f>IF(COUNTA($B$2:D20)=0,"",SUM($E$2:E20))</f>
        <v/>
      </c>
      <c r="G20" s="2">
        <f>IF(A20&gt;'CAPACIDADE_E_CAIXA'!B2,"",IF(F20="","",IF(AND(F20&gt;=0,OR(F19="",F19&lt;0)),"SIM","")))</f>
        <v/>
      </c>
    </row>
    <row r="21">
      <c r="A21" s="2" t="n">
        <v>19</v>
      </c>
      <c r="B21" s="19" t="n"/>
      <c r="C21" s="19" t="n"/>
      <c r="D21" s="19" t="n"/>
      <c r="E21" s="2">
        <f>IF(COUNTA(B21:D21)=0,"",D21-B21-C21)</f>
        <v/>
      </c>
      <c r="F21" s="20">
        <f>IF(COUNTA($B$2:D21)=0,"",SUM($E$2:E21))</f>
        <v/>
      </c>
      <c r="G21" s="2">
        <f>IF(A21&gt;'CAPACIDADE_E_CAIXA'!B2,"",IF(F21="","",IF(AND(F21&gt;=0,OR(F20="",F20&lt;0)),"SIM","")))</f>
        <v/>
      </c>
    </row>
    <row r="22">
      <c r="A22" s="2" t="n">
        <v>20</v>
      </c>
      <c r="B22" s="19" t="n"/>
      <c r="C22" s="19" t="n"/>
      <c r="D22" s="19" t="n"/>
      <c r="E22" s="2">
        <f>IF(COUNTA(B22:D22)=0,"",D22-B22-C22)</f>
        <v/>
      </c>
      <c r="F22" s="20">
        <f>IF(COUNTA($B$2:D22)=0,"",SUM($E$2:E22))</f>
        <v/>
      </c>
      <c r="G22" s="2">
        <f>IF(A22&gt;'CAPACIDADE_E_CAIXA'!B2,"",IF(F22="","",IF(AND(F22&gt;=0,OR(F21="",F21&lt;0)),"SIM","")))</f>
        <v/>
      </c>
    </row>
    <row r="23">
      <c r="A23" s="2" t="n">
        <v>21</v>
      </c>
      <c r="B23" s="19" t="n"/>
      <c r="C23" s="19" t="n"/>
      <c r="D23" s="19" t="n"/>
      <c r="E23" s="2">
        <f>IF(COUNTA(B23:D23)=0,"",D23-B23-C23)</f>
        <v/>
      </c>
      <c r="F23" s="20">
        <f>IF(COUNTA($B$2:D23)=0,"",SUM($E$2:E23))</f>
        <v/>
      </c>
      <c r="G23" s="2">
        <f>IF(A23&gt;'CAPACIDADE_E_CAIXA'!B2,"",IF(F23="","",IF(AND(F23&gt;=0,OR(F22="",F22&lt;0)),"SIM","")))</f>
        <v/>
      </c>
    </row>
    <row r="24">
      <c r="A24" s="2" t="n">
        <v>22</v>
      </c>
      <c r="B24" s="19" t="n"/>
      <c r="C24" s="19" t="n"/>
      <c r="D24" s="19" t="n"/>
      <c r="E24" s="2">
        <f>IF(COUNTA(B24:D24)=0,"",D24-B24-C24)</f>
        <v/>
      </c>
      <c r="F24" s="20">
        <f>IF(COUNTA($B$2:D24)=0,"",SUM($E$2:E24))</f>
        <v/>
      </c>
      <c r="G24" s="2">
        <f>IF(A24&gt;'CAPACIDADE_E_CAIXA'!B2,"",IF(F24="","",IF(AND(F24&gt;=0,OR(F23="",F23&lt;0)),"SIM","")))</f>
        <v/>
      </c>
    </row>
    <row r="25">
      <c r="A25" s="2" t="n">
        <v>23</v>
      </c>
      <c r="B25" s="19" t="n"/>
      <c r="C25" s="19" t="n"/>
      <c r="D25" s="19" t="n"/>
      <c r="E25" s="2">
        <f>IF(COUNTA(B25:D25)=0,"",D25-B25-C25)</f>
        <v/>
      </c>
      <c r="F25" s="20">
        <f>IF(COUNTA($B$2:D25)=0,"",SUM($E$2:E25))</f>
        <v/>
      </c>
      <c r="G25" s="2">
        <f>IF(A25&gt;'CAPACIDADE_E_CAIXA'!B2,"",IF(F25="","",IF(AND(F25&gt;=0,OR(F24="",F24&lt;0)),"SIM","")))</f>
        <v/>
      </c>
    </row>
    <row r="26">
      <c r="A26" s="2" t="n">
        <v>24</v>
      </c>
      <c r="B26" s="19" t="n"/>
      <c r="C26" s="19" t="n"/>
      <c r="D26" s="19" t="n"/>
      <c r="E26" s="2">
        <f>IF(COUNTA(B26:D26)=0,"",D26-B26-C26)</f>
        <v/>
      </c>
      <c r="F26" s="20">
        <f>IF(COUNTA($B$2:D26)=0,"",SUM($E$2:E26))</f>
        <v/>
      </c>
      <c r="G26" s="2">
        <f>IF(A26&gt;'CAPACIDADE_E_CAIXA'!B2,"",IF(F26="","",IF(AND(F26&gt;=0,OR(F25="",F25&lt;0)),"SIM","")))</f>
        <v/>
      </c>
    </row>
    <row r="27">
      <c r="A27" s="21" t="inlineStr">
        <is>
          <t>A decisão em H usa somente meses ≤ H; meses posteriores são informativos e não entram no ROI nem no payback em H.</t>
        </is>
      </c>
      <c r="B27" s="2" t="n"/>
      <c r="C27" s="2" t="n"/>
      <c r="D27" s="2" t="n"/>
      <c r="E27" s="2" t="n"/>
      <c r="F27" s="2" t="n"/>
      <c r="G27" s="2" t="n"/>
    </row>
    <row r="28">
      <c r="A28" s="22" t="inlineStr">
        <is>
          <t>Total de custos no fluxo em H</t>
        </is>
      </c>
      <c r="B28" s="20">
        <f>IF(COUNTIFS(A2:A26,"&lt;="&amp;'CAPACIDADE_E_CAIXA'!B2,B2:B26,"&lt;&gt;")+COUNTIFS(A2:A26,"&lt;="&amp;'CAPACIDADE_E_CAIXA'!B2,C2:C26,"&lt;&gt;")=0,"",SUMIFS(B2:B26,A2:A26,"&lt;="&amp;'CAPACIDADE_E_CAIXA'!B2)+SUMIFS(C2:C26,A2:A26,"&lt;="&amp;'CAPACIDADE_E_CAIXA'!B2))</f>
        <v/>
      </c>
      <c r="C28" s="2" t="n"/>
      <c r="D28" s="2" t="n"/>
      <c r="E28" s="2" t="n"/>
      <c r="F28" s="2" t="n"/>
      <c r="G28" s="2" t="n"/>
    </row>
    <row r="29">
      <c r="A29" s="22" t="inlineStr">
        <is>
          <t>K_H no BOM</t>
        </is>
      </c>
      <c r="B29" s="20">
        <f>'CAPACIDADE_E_CAIXA'!B10</f>
        <v/>
      </c>
      <c r="C29" s="2" t="n"/>
      <c r="D29" s="2" t="n"/>
      <c r="E29" s="2" t="n"/>
      <c r="F29" s="2" t="n"/>
      <c r="G29" s="2" t="n"/>
    </row>
    <row r="30">
      <c r="A30" s="22" t="inlineStr">
        <is>
          <t>Diferença a reconciliar</t>
        </is>
      </c>
      <c r="B30" s="20">
        <f>IF(OR(B28="",B29=""),"",B28-B29)</f>
        <v/>
      </c>
      <c r="C30" s="2" t="n"/>
      <c r="D30" s="2" t="n"/>
      <c r="E30" s="2" t="n"/>
      <c r="F30" s="2" t="n"/>
      <c r="G30" s="2" t="n"/>
    </row>
    <row r="31">
      <c r="A31" s="22" t="inlineStr">
        <is>
          <t>Status</t>
        </is>
      </c>
      <c r="B31" s="2">
        <f>IF(B30="","PENDENTE",IF(ABS(B30)&lt;0.01,"OK","RECONCILIAR"))</f>
        <v/>
      </c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11" t="inlineStr">
        <is>
          <t>Visão 0–24 meses — informativa, fora do ROI em H</t>
        </is>
      </c>
      <c r="B33" s="2" t="n"/>
      <c r="C33" s="2" t="n"/>
      <c r="D33" s="2" t="n"/>
      <c r="E33" s="2" t="n"/>
      <c r="F33" s="2" t="n"/>
      <c r="G33" s="2" t="n"/>
    </row>
    <row r="34">
      <c r="A34" s="22" t="inlineStr">
        <is>
          <t>Custos de vida completa</t>
        </is>
      </c>
      <c r="B34" s="20">
        <f>IF(COUNTA(B2:C26)=0,"",SUM(B2:C26))</f>
        <v/>
      </c>
      <c r="C34" s="2" t="n"/>
      <c r="D34" s="2" t="n"/>
      <c r="E34" s="2" t="n"/>
      <c r="F34" s="2" t="n"/>
      <c r="G34" s="2" t="n"/>
    </row>
    <row r="35">
      <c r="A35" s="22" t="inlineStr">
        <is>
          <t>Benefício de vida completa</t>
        </is>
      </c>
      <c r="B35" s="20">
        <f>IF(COUNT(D2:D26)=0,"",SUM(D2:D26))</f>
        <v/>
      </c>
      <c r="C35" s="2" t="n"/>
      <c r="D35" s="2" t="n"/>
      <c r="E35" s="2" t="n"/>
      <c r="F35" s="2" t="n"/>
      <c r="G35" s="2" t="n"/>
    </row>
    <row r="36">
      <c r="A36" s="22" t="inlineStr">
        <is>
          <t>Resultado de vida completa</t>
        </is>
      </c>
      <c r="B36" s="20">
        <f>IF(OR(B34="",B35=""),"",B35-B34)</f>
        <v/>
      </c>
      <c r="C36" s="2" t="n"/>
      <c r="D36" s="2" t="n"/>
      <c r="E36" s="2" t="n"/>
      <c r="F36" s="2" t="n"/>
      <c r="G36" s="2" t="n"/>
    </row>
  </sheetData>
  <mergeCells count="2">
    <mergeCell ref="A27:G27"/>
    <mergeCell ref="A33:B33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4" customWidth="1" min="3" max="3"/>
    <col width="34" customWidth="1" min="4" max="4"/>
    <col width="16" customWidth="1" min="5" max="5"/>
    <col width="26" customWidth="1" min="6" max="6"/>
  </cols>
  <sheetData>
    <row r="1">
      <c r="A1" s="23" t="inlineStr">
        <is>
          <t>Gate</t>
        </is>
      </c>
      <c r="B1" s="23" t="inlineStr">
        <is>
          <t>Pergunta</t>
        </is>
      </c>
      <c r="C1" s="23" t="inlineStr">
        <is>
          <t>Indicadores pré-especificados</t>
        </is>
      </c>
      <c r="D1" s="23" t="inlineStr">
        <is>
          <t>Evidência</t>
        </is>
      </c>
      <c r="E1" s="23" t="inlineStr">
        <is>
          <t>Status</t>
        </is>
      </c>
      <c r="F1" s="23" t="inlineStr">
        <is>
          <t>Decisão</t>
        </is>
      </c>
    </row>
    <row r="2">
      <c r="A2" s="4" t="inlineStr">
        <is>
          <t>Implementação</t>
        </is>
      </c>
      <c r="B2" s="4" t="inlineStr">
        <is>
          <t>A intervenção chegou como planejado?</t>
        </is>
      </c>
      <c r="C2" s="4" t="inlineStr">
        <is>
          <t>alcance; adesão; perdas; fidelidade; eventos</t>
        </is>
      </c>
      <c r="D2" s="4" t="inlineStr"/>
      <c r="E2" s="4" t="inlineStr">
        <is>
          <t>Pendente</t>
        </is>
      </c>
      <c r="F2" s="4" t="inlineStr"/>
    </row>
    <row r="3">
      <c r="A3" s="4" t="inlineStr">
        <is>
          <t>Clínico</t>
        </is>
      </c>
      <c r="B3" s="4" t="inlineStr">
        <is>
          <t>Sintomas mudaram com relevância e incerteza aceitáveis?</t>
        </is>
      </c>
      <c r="C3" s="4" t="inlineStr">
        <is>
          <t>instrumento; efeito; IC; segurança</t>
        </is>
      </c>
      <c r="D3" s="4" t="inlineStr"/>
      <c r="E3" s="4" t="inlineStr">
        <is>
          <t>Pendente</t>
        </is>
      </c>
      <c r="F3" s="4" t="inlineStr"/>
    </row>
    <row r="4">
      <c r="A4" s="4" t="inlineStr">
        <is>
          <t>Operacional</t>
        </is>
      </c>
      <c r="B4" s="4" t="inlineStr">
        <is>
          <t>Há sinal em indicador objetivo independente?</t>
        </is>
      </c>
      <c r="C4" s="4" t="inlineStr">
        <is>
          <t>um indicador definido antes; comparação proporcional</t>
        </is>
      </c>
      <c r="D4" s="4" t="inlineStr"/>
      <c r="E4" s="4" t="inlineStr">
        <is>
          <t>Exploratório</t>
        </is>
      </c>
      <c r="F4" s="4" t="inlineStr"/>
    </row>
    <row r="5">
      <c r="A5" s="4" t="inlineStr">
        <is>
          <t>Financeiro</t>
        </is>
      </c>
      <c r="B5" s="4" t="inlineStr">
        <is>
          <t>Existe benefício incremental auditável e atribuível?</t>
        </is>
      </c>
      <c r="C5" s="4" t="inlineStr">
        <is>
          <t>B_caixa,H; K_H; método; mesmo horizonte</t>
        </is>
      </c>
      <c r="D5" s="4" t="inlineStr"/>
      <c r="E5" s="4" t="inlineStr">
        <is>
          <t>Fechado</t>
        </is>
      </c>
      <c r="F5" s="4" t="inlineStr"/>
    </row>
  </sheetData>
  <conditionalFormatting sqref="E2:E5">
    <cfRule type="expression" priority="1" dxfId="0">
      <formula>E2="Aprovado"</formula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2" customWidth="1" min="2" max="2"/>
    <col width="28" customWidth="1" min="3" max="3"/>
  </cols>
  <sheetData>
    <row r="1">
      <c r="A1" s="23" t="inlineStr">
        <is>
          <t>Contrato mínimo antes da coleta</t>
        </is>
      </c>
      <c r="B1" s="23" t="inlineStr">
        <is>
          <t>Registro</t>
        </is>
      </c>
      <c r="C1" s="23" t="inlineStr">
        <is>
          <t>Status / evidência</t>
        </is>
      </c>
    </row>
    <row r="2">
      <c r="A2" s="4" t="inlineStr">
        <is>
          <t>Finalidade: melhoria interna ou pesquisa; decisão CEP/CONEP quando aplicável</t>
        </is>
      </c>
      <c r="B2" s="4" t="inlineStr"/>
      <c r="C2" s="4" t="inlineStr">
        <is>
          <t>Pendente</t>
        </is>
      </c>
    </row>
    <row r="3">
      <c r="A3" s="4" t="inlineStr">
        <is>
          <t>População, equipes/períodos e unidade de análise</t>
        </is>
      </c>
      <c r="B3" s="4" t="inlineStr"/>
      <c r="C3" s="4" t="inlineStr">
        <is>
          <t>Pendente</t>
        </is>
      </c>
    </row>
    <row r="4">
      <c r="A4" s="4" t="inlineStr">
        <is>
          <t>Desfecho principal de viabilidade e desfechos separados</t>
        </is>
      </c>
      <c r="B4" s="4" t="inlineStr"/>
      <c r="C4" s="4" t="inlineStr">
        <is>
          <t>Pendente</t>
        </is>
      </c>
    </row>
    <row r="5">
      <c r="A5" s="4" t="inlineStr">
        <is>
          <t>Comparação, horizonte, perdas/dados ausentes e incerteza a relatar</t>
        </is>
      </c>
      <c r="B5" s="4" t="inlineStr"/>
      <c r="C5" s="4" t="inlineStr">
        <is>
          <t>Pendente</t>
        </is>
      </c>
    </row>
    <row r="6">
      <c r="A6" s="4" t="inlineStr">
        <is>
          <t>Critérios prévios: confirmar melhor / ajustar / encerrar</t>
        </is>
      </c>
      <c r="B6" s="4" t="inlineStr"/>
      <c r="C6" s="4" t="inlineStr">
        <is>
          <t>Pendente</t>
        </is>
      </c>
    </row>
    <row r="7">
      <c r="A7" s="4" t="inlineStr">
        <is>
          <t>OSDI/OSDI-6: versão, idioma, licença, algoritmo e evidência</t>
        </is>
      </c>
      <c r="B7" s="4" t="inlineStr"/>
      <c r="C7" s="4" t="inlineStr">
        <is>
          <t>Pendente</t>
        </is>
      </c>
    </row>
    <row r="8">
      <c r="A8" s="4" t="inlineStr">
        <is>
          <t>DEQ-5: versão PT-BR, condições de uso e corte correspondente</t>
        </is>
      </c>
      <c r="B8" s="4" t="inlineStr"/>
      <c r="C8" s="4" t="inlineStr">
        <is>
          <t>Pendente</t>
        </is>
      </c>
    </row>
    <row r="9">
      <c r="A9" s="4" t="inlineStr">
        <is>
          <t>CVS-Q: versão autorizada, população e corte correspondente</t>
        </is>
      </c>
      <c r="B9" s="4" t="inlineStr"/>
      <c r="C9" s="4" t="inlineStr">
        <is>
          <t>Pendente</t>
        </is>
      </c>
    </row>
    <row r="10">
      <c r="A10" s="4" t="inlineStr">
        <is>
          <t>WPAI/WLQ, se usados: domínio, tradução, licença e finalidade</t>
        </is>
      </c>
      <c r="B10" s="4" t="inlineStr"/>
      <c r="C10" s="4" t="inlineStr">
        <is>
          <t>Pendente</t>
        </is>
      </c>
    </row>
  </sheetData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  <col width="18" customWidth="1" min="5" max="5"/>
    <col width="20" customWidth="1" min="6" max="6"/>
    <col width="34" customWidth="1" min="7" max="7"/>
  </cols>
  <sheetData>
    <row r="1">
      <c r="A1" s="23" t="inlineStr">
        <is>
          <t>Indicador</t>
        </is>
      </c>
      <c r="B1" s="23" t="inlineStr">
        <is>
          <t>Piloto baseline</t>
        </is>
      </c>
      <c r="C1" s="23" t="inlineStr">
        <is>
          <t>Piloto D+90</t>
        </is>
      </c>
      <c r="D1" s="23" t="inlineStr">
        <is>
          <t>Comparação baseline</t>
        </is>
      </c>
      <c r="E1" s="23" t="inlineStr">
        <is>
          <t>Comparação D+90</t>
        </is>
      </c>
      <c r="F1" s="23" t="inlineStr">
        <is>
          <t>Efeito / IC</t>
        </is>
      </c>
      <c r="G1" s="23" t="inlineStr">
        <is>
          <t>Observação</t>
        </is>
      </c>
    </row>
    <row r="2">
      <c r="A2" s="4" t="inlineStr">
        <is>
          <t>Participação / alcance</t>
        </is>
      </c>
      <c r="B2" s="4" t="n"/>
      <c r="C2" s="4" t="n"/>
      <c r="D2" s="4" t="n"/>
      <c r="E2" s="4" t="n"/>
      <c r="F2" s="4" t="n"/>
      <c r="G2" s="4" t="n"/>
    </row>
    <row r="3">
      <c r="A3" s="4" t="inlineStr">
        <is>
          <t>Perdas de acompanhamento</t>
        </is>
      </c>
      <c r="B3" s="4" t="n"/>
      <c r="C3" s="4" t="n"/>
      <c r="D3" s="4" t="n"/>
      <c r="E3" s="4" t="n"/>
      <c r="F3" s="4" t="n"/>
      <c r="G3" s="4" t="n"/>
    </row>
    <row r="4">
      <c r="A4" s="4" t="inlineStr">
        <is>
          <t>Adesão a pausas / ergonomia</t>
        </is>
      </c>
      <c r="B4" s="4" t="n"/>
      <c r="C4" s="4" t="n"/>
      <c r="D4" s="4" t="n"/>
      <c r="E4" s="4" t="n"/>
      <c r="F4" s="4" t="n"/>
      <c r="G4" s="4" t="n"/>
    </row>
    <row r="5">
      <c r="A5" s="4" t="inlineStr">
        <is>
          <t>Fadiga de notificação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Escore de sintomas</t>
        </is>
      </c>
      <c r="B6" s="4" t="n"/>
      <c r="C6" s="4" t="n"/>
      <c r="D6" s="4" t="n"/>
      <c r="E6" s="4" t="n"/>
      <c r="F6" s="4" t="n"/>
      <c r="G6" s="4" t="n"/>
    </row>
    <row r="7">
      <c r="A7" s="4" t="inlineStr">
        <is>
          <t>% nas faixas moderada/grave do OSDI-12, se aplicável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Produtividade percebida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Indicador operacional pré-especificado</t>
        </is>
      </c>
      <c r="B9" s="4" t="n"/>
      <c r="C9" s="4" t="n"/>
      <c r="D9" s="4" t="n"/>
      <c r="E9" s="4" t="n"/>
      <c r="F9" s="4" t="n"/>
      <c r="G9" s="4" t="n"/>
    </row>
    <row r="10">
      <c r="A10" s="4" t="inlineStr">
        <is>
          <t>Eventos de segurança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K_H — custo no mesmo horizonte</t>
        </is>
      </c>
      <c r="B11" s="4" t="n"/>
      <c r="C11" s="4" t="n"/>
      <c r="D11" s="4" t="n"/>
      <c r="E11" s="4" t="n"/>
      <c r="F11" s="4" t="n"/>
      <c r="G11" s="4" t="n"/>
    </row>
    <row r="12">
      <c r="A12" s="4" t="inlineStr">
        <is>
          <t>B_caixa,H incremental atribuível</t>
        </is>
      </c>
      <c r="B12" s="4" t="n"/>
      <c r="C12" s="4" t="n"/>
      <c r="D12" s="4" t="n"/>
      <c r="E12" s="4" t="n"/>
      <c r="F12" s="4" t="n"/>
      <c r="G12" s="4" t="n"/>
    </row>
  </sheetData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48" customWidth="1" min="4" max="4"/>
  </cols>
  <sheetData>
    <row r="1">
      <c r="A1" s="23" t="inlineStr">
        <is>
          <t>Controle</t>
        </is>
      </c>
      <c r="B1" s="23" t="inlineStr">
        <is>
          <t>Status</t>
        </is>
      </c>
      <c r="C1" s="23" t="inlineStr">
        <is>
          <t>Onde corrigir</t>
        </is>
      </c>
      <c r="D1" s="23" t="inlineStr">
        <is>
          <t>Regra</t>
        </is>
      </c>
    </row>
    <row r="2">
      <c r="A2" s="4" t="inlineStr">
        <is>
          <t>Horizonte comum definido</t>
        </is>
      </c>
      <c r="B2" s="4">
        <f>IF('CAPACIDADE_E_CAIXA'!B2&gt;0,"OK","FALHA")</f>
        <v/>
      </c>
      <c r="C2" s="4" t="inlineStr">
        <is>
          <t>CAPACIDADE_E_CAIXA!B2</t>
        </is>
      </c>
      <c r="D2" s="4" t="inlineStr">
        <is>
          <t>H deve ser maior que zero</t>
        </is>
      </c>
    </row>
    <row r="3">
      <c r="A3" s="4" t="inlineStr">
        <is>
          <t>Premissas P e L em faixa válida</t>
        </is>
      </c>
      <c r="B3" s="4">
        <f>IF(AND('CAPACIDADE_E_CAIXA'!B5&gt;=0,'CAPACIDADE_E_CAIXA'!B5&lt;=1,'CAPACIDADE_E_CAIXA'!B6&gt;=0,'CAPACIDADE_E_CAIXA'!B6&lt;=1),"OK","FALHA")</f>
        <v/>
      </c>
      <c r="C3" s="4" t="inlineStr">
        <is>
          <t>CAPACIDADE_E_CAIXA!B5:B6</t>
        </is>
      </c>
      <c r="D3" s="4" t="inlineStr">
        <is>
          <t>percentuais entre 0% e 100%</t>
        </is>
      </c>
    </row>
    <row r="4">
      <c r="A4" s="4" t="inlineStr">
        <is>
          <t>Custos do BOM classificados</t>
        </is>
      </c>
      <c r="B4" s="4">
        <f>IF(COUNT('BOM'!G2:G12)=0,"PENDENTE",IF(COUNTIFS('BOM'!G2:G12,"&gt;0",'BOM'!C2:C12,"")=0,"OK","FALHA"))</f>
        <v/>
      </c>
      <c r="C4" s="4" t="inlineStr">
        <is>
          <t>BOM!C2:C12</t>
        </is>
      </c>
      <c r="D4" s="4" t="inlineStr">
        <is>
          <t>todo custo deve ser implantação ou recorrente</t>
        </is>
      </c>
    </row>
    <row r="5">
      <c r="A5" s="4" t="inlineStr">
        <is>
          <t>Fluxo de custos reconcilia com K_H</t>
        </is>
      </c>
      <c r="B5" s="4">
        <f>'FLUXO_CAIXA'!B31</f>
        <v/>
      </c>
      <c r="C5" s="4" t="inlineStr">
        <is>
          <t>FLUXO_CAIXA!B2:C26</t>
        </is>
      </c>
      <c r="D5" s="4" t="inlineStr">
        <is>
          <t>diferença menor que R$ 0,01</t>
        </is>
      </c>
    </row>
    <row r="6">
      <c r="A6" s="4" t="inlineStr">
        <is>
          <t>Denominador zero tratado como N/A</t>
        </is>
      </c>
      <c r="B6" s="4">
        <f>IF('CAPACIDADE_E_CAIXA'!B7&lt;=0,IF('CAPACIDADE_E_CAIXA'!B11="","OK","FALHA"),"OK")</f>
        <v/>
      </c>
      <c r="C6" s="4" t="inlineStr">
        <is>
          <t>CAPACIDADE_E_CAIXA!B11</t>
        </is>
      </c>
      <c r="D6" s="4" t="inlineStr">
        <is>
          <t>limiar nunca deve mostrar 0% por divisão inválida</t>
        </is>
      </c>
    </row>
    <row r="7">
      <c r="A7" s="4" t="inlineStr">
        <is>
          <t>ROI bloqueado sem custo e benefício</t>
        </is>
      </c>
      <c r="B7" s="4">
        <f>IF(OR('CAPACIDADE_E_CAIXA'!B10="",'CAPACIDADE_E_CAIXA'!B12=""),IF('CAPACIDADE_E_CAIXA'!B14="","OK","FALHA"),"OK")</f>
        <v/>
      </c>
      <c r="C7" s="4" t="inlineStr">
        <is>
          <t>CAPACIDADE_E_CAIXA!B14</t>
        </is>
      </c>
      <c r="D7" s="4" t="inlineStr">
        <is>
          <t>sem inputs observados, ROI fica em branco</t>
        </is>
      </c>
    </row>
    <row r="8">
      <c r="A8" s="4" t="inlineStr">
        <is>
          <t>Benefício financeiro limitado a H</t>
        </is>
      </c>
      <c r="B8" s="4">
        <f>IF(ABS(N('CAPACIDADE_E_CAIXA'!B12)-SUMIFS('FLUXO_CAIXA'!D2:D26,'FLUXO_CAIXA'!A2:A26,"&lt;="&amp;'CAPACIDADE_E_CAIXA'!B2))&lt;0.01,"OK","FALHA")</f>
        <v/>
      </c>
      <c r="C8" s="4" t="inlineStr">
        <is>
          <t>CAPACIDADE_E_CAIXA!B12</t>
        </is>
      </c>
      <c r="D8" s="4" t="inlineStr">
        <is>
          <t>B_caixa,H não inclui meses posteriores a H</t>
        </is>
      </c>
    </row>
    <row r="9">
      <c r="A9" s="4" t="inlineStr">
        <is>
          <t>Payback limitado a H</t>
        </is>
      </c>
      <c r="B9" s="4">
        <f>IF(OR('CAPACIDADE_E_CAIXA'!B15="",AND('CAPACIDADE_E_CAIXA'!B15&gt;=0,'CAPACIDADE_E_CAIXA'!B15&lt;='CAPACIDADE_E_CAIXA'!B2)),"OK","FALHA")</f>
        <v/>
      </c>
      <c r="C9" s="4" t="inlineStr">
        <is>
          <t>CAPACIDADE_E_CAIXA!B15</t>
        </is>
      </c>
      <c r="D9" s="4" t="inlineStr">
        <is>
          <t>payback posterior a H permanece fora do ROI em H</t>
        </is>
      </c>
    </row>
    <row r="10">
      <c r="A10" s="4" t="n"/>
      <c r="B10" s="4" t="n"/>
      <c r="C10" s="4" t="n"/>
      <c r="D10" s="4" t="n"/>
    </row>
    <row r="11">
      <c r="A11" s="23" t="inlineStr">
        <is>
          <t>MODEL STATUS</t>
        </is>
      </c>
      <c r="B11" s="24">
        <f>IF(COUNTIF(B2:B9,"FALHA")+COUNTIF(B2:B9,"RECONCILIAR")&gt;0,"FAIL",IF(COUNTIF(B2:B9,"PENDENTE")&gt;0,"PENDENTE","PASS"))</f>
        <v/>
      </c>
      <c r="C11" s="4" t="n"/>
      <c r="D11" s="4" t="n"/>
    </row>
  </sheetData>
  <conditionalFormatting sqref="B2:B11">
    <cfRule type="expression" priority="1" dxfId="0">
      <formula>B2="OK"</formula>
    </cfRule>
    <cfRule type="expression" priority="2" dxfId="1">
      <formula>OR(B2="FAIL",B2="FALHA",B2="RECONCILIAR")</formula>
    </cfRule>
  </conditionalFormatting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2026-07-14T19:13:29Z</dcterms:created>
  <dcterms:modified xmlns:dcterms="http://purl.org/dc/terms/" xmlns:xsi="http://www.w3.org/2001/XMLSchema-instance" xsi:type="dcterms:W3CDTF">2026-07-14T19:13:29Z</dcterms:modified>
</cp:coreProperties>
</file>